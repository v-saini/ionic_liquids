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asters_project\2025-26\kirandeep\mordred_final\Corrected\"/>
    </mc:Choice>
  </mc:AlternateContent>
  <bookViews>
    <workbookView xWindow="0" yWindow="0" windowWidth="28800" windowHeight="1243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<sst xmlns="http://schemas.openxmlformats.org/spreadsheetml/2006/main" count="132" uniqueCount="98">
  <si>
    <t>Type</t>
  </si>
  <si>
    <t>Name</t>
  </si>
  <si>
    <t xml:space="preserve"> Cation smiles</t>
  </si>
  <si>
    <t>Anion smiles</t>
  </si>
  <si>
    <t>Predicted</t>
  </si>
  <si>
    <t>imidazolium salts</t>
  </si>
  <si>
    <t>[Glymim] Cl</t>
  </si>
  <si>
    <t>C[N+]1=CN(CC(O)CO)C=C1</t>
  </si>
  <si>
    <t>[Cl-]</t>
  </si>
  <si>
    <t>58.7</t>
  </si>
  <si>
    <t>[bmim] [propionate]</t>
  </si>
  <si>
    <t>C[N+]1=CN(CCCC)C=C1</t>
  </si>
  <si>
    <t>CCC([O-])=O</t>
  </si>
  <si>
    <t>49.6</t>
  </si>
  <si>
    <t>[bmim] N(CN)₂</t>
  </si>
  <si>
    <t>N#C[N-]C#N</t>
  </si>
  <si>
    <t>51.4</t>
  </si>
  <si>
    <t>[bmmim] BF4</t>
  </si>
  <si>
    <t>C[N+]1=C(C)N(CCCC)C=C1</t>
  </si>
  <si>
    <t>F[B-](F)(F)F</t>
  </si>
  <si>
    <t>52.4</t>
  </si>
  <si>
    <t>[ommim] NTf₂</t>
  </si>
  <si>
    <t>C[N+]1=C(C)N(CCCCCCCC)C=C1</t>
  </si>
  <si>
    <t>FC(F)(F)S(=O)([N-]S(=O)(C(F)(F)F)=O)=O</t>
  </si>
  <si>
    <t>50.3</t>
  </si>
  <si>
    <t>ammonium salts</t>
  </si>
  <si>
    <t>[NDec₄] ClO₄</t>
  </si>
  <si>
    <t>CCCCCCCCCC[N+](CCCCCCCCCC)(CCCCCCCCCC)CCCCCCCCCC</t>
  </si>
  <si>
    <t>O=Cl(=O)([O-])=O</t>
  </si>
  <si>
    <t>43.8</t>
  </si>
  <si>
    <t>[MeO(CH₂)2BuNMe₂] N(CN)₂</t>
  </si>
  <si>
    <t>C[N+](CCCC)(CCOC)C</t>
  </si>
  <si>
    <t>51.3</t>
  </si>
  <si>
    <t>[NOct₄] ClO₄</t>
  </si>
  <si>
    <t>CCCCCCCC[N+](CCCCCCCC)(CCCCCCCC)CCCCCCCC</t>
  </si>
  <si>
    <t>45.6</t>
  </si>
  <si>
    <t>[NPr₄] [CHES]</t>
  </si>
  <si>
    <t>CCC[N+](CCC)(CCC)CCC</t>
  </si>
  <si>
    <t>O=S(CCNC1CCCCC1)([O-])=O</t>
  </si>
  <si>
    <t>51.8</t>
  </si>
  <si>
    <t>[NBu4] Br</t>
  </si>
  <si>
    <t>CCCC[N+](CCCC)(CCCC)CCCC</t>
  </si>
  <si>
    <t>[Br-]</t>
  </si>
  <si>
    <t>45.1</t>
  </si>
  <si>
    <t>[EtNH3] NO3</t>
  </si>
  <si>
    <t>CC[NH3+]</t>
  </si>
  <si>
    <t>O=[N+]([O-])[O-]</t>
  </si>
  <si>
    <t>61.7</t>
  </si>
  <si>
    <t>guanidinium salts</t>
  </si>
  <si>
    <t>[N22N33N610] Sac</t>
  </si>
  <si>
    <t>CCCCCCN(CCCCCCCCCC)[C+](N(CC)CC)N(CCC)CCC</t>
  </si>
  <si>
    <t>O=C([N-]2)C1=CC=CC=C1S2(=O)=O</t>
  </si>
  <si>
    <t>49.7</t>
  </si>
  <si>
    <t>[N22N33N61] Tos</t>
  </si>
  <si>
    <t>CCCCCCN(C)[C+](N(CC)CC)N(CCC)CCC</t>
  </si>
  <si>
    <t>CC1=CC=C(S(=O)([O-])=O)C=C1</t>
  </si>
  <si>
    <t>[N22N33N610] Cl</t>
  </si>
  <si>
    <t>44.6</t>
  </si>
  <si>
    <t>[N11N22N201,201] Cl</t>
  </si>
  <si>
    <t>CN(C)[C+](N(CC)CC)N(CCOC)CCOC</t>
  </si>
  <si>
    <t>46.8</t>
  </si>
  <si>
    <t>[N22N33N63] Sac</t>
  </si>
  <si>
    <t>CCCCCCN(CCC)[C+](N(CC)CC)N(CCC)CCC</t>
  </si>
  <si>
    <t>50.2</t>
  </si>
  <si>
    <t>[N11N22N201,201] F3CSO3</t>
  </si>
  <si>
    <t>FC(F)(S(=O)([O-])=O)F</t>
  </si>
  <si>
    <t>48.8</t>
  </si>
  <si>
    <t>pyrolidinium salts</t>
  </si>
  <si>
    <t>[MeGlyPyrr] NTf2</t>
  </si>
  <si>
    <t>C[N+]1(CC(O)CO)CCCC1</t>
  </si>
  <si>
    <t>62.0</t>
  </si>
  <si>
    <t>[MePentPyrr] NTf2</t>
  </si>
  <si>
    <t>C[N+]1(CCCC=C)CCCC1</t>
  </si>
  <si>
    <t>50.5</t>
  </si>
  <si>
    <t>morpholinium salts</t>
  </si>
  <si>
    <t>[MeEtMor] NTf2</t>
  </si>
  <si>
    <t>C[N+]1(CC)CCOCC1</t>
  </si>
  <si>
    <t>50.1</t>
  </si>
  <si>
    <t>[MeOctMor] N(CN)2</t>
  </si>
  <si>
    <t>C[N+]1(CCCCCCCC)CCOCC1</t>
  </si>
  <si>
    <t>49.2</t>
  </si>
  <si>
    <t>phosphonium salts</t>
  </si>
  <si>
    <t>[PBu4] Cl</t>
  </si>
  <si>
    <t>CCCC[P+](CCCC)(CCCC)CCCC</t>
  </si>
  <si>
    <t>44.1</t>
  </si>
  <si>
    <t>[PDodBu3] Cl</t>
  </si>
  <si>
    <t>CCCC[P+](CCCC)(CCCC)CCCCCCCCCCCC</t>
  </si>
  <si>
    <t>43.5</t>
  </si>
  <si>
    <t>piperidinium salts</t>
  </si>
  <si>
    <t>[MeGly Pip] NTf2</t>
  </si>
  <si>
    <t>C[N+]1(CC(O)CO)CCCCC1</t>
  </si>
  <si>
    <t>62.1</t>
  </si>
  <si>
    <t>other salts</t>
  </si>
  <si>
    <t>[OctDABCO] N(CN)2</t>
  </si>
  <si>
    <t>CCCCCCCC[N+]12CCN(CC2)CC1</t>
  </si>
  <si>
    <t>48.6</t>
  </si>
  <si>
    <t>Error</t>
  </si>
  <si>
    <t>Actual (ET30)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</si>
</sst>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S7" sqref="S7"/>
    </sheetView>
  </sheetViews>
  <sheetFormatPr defaultRowHeight="15" x14ac:dyDescent="0.25"/>
  <cols>
    <col min="3" max="3" width="55" bestFit="1" customWidth="1"/>
    <col min="4" max="4" width="36.85546875" bestFit="1" customWidth="1"/>
    <col min="5" max="5" width="1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97</v>
      </c>
      <c r="F1" s="1" t="s">
        <v>4</v>
      </c>
      <c r="G1" s="2" t="s">
        <v>96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>
        <v>59</v>
      </c>
      <c r="F2" t="s">
        <v>9</v>
      </c>
      <c r="G2">
        <f>(E2-F2)</f>
        <v>0.29999999999999716</v>
      </c>
    </row>
    <row r="3" spans="1:7" x14ac:dyDescent="0.25">
      <c r="A3" t="s">
        <v>5</v>
      </c>
      <c r="B3" t="s">
        <v>10</v>
      </c>
      <c r="C3" t="s">
        <v>11</v>
      </c>
      <c r="D3" t="s">
        <v>12</v>
      </c>
      <c r="E3">
        <v>49.1</v>
      </c>
      <c r="F3" t="s">
        <v>13</v>
      </c>
      <c r="G3">
        <f t="shared" ref="G3:G26" si="0">(E3-F3)</f>
        <v>-0.5</v>
      </c>
    </row>
    <row r="4" spans="1:7" x14ac:dyDescent="0.25">
      <c r="A4" t="s">
        <v>5</v>
      </c>
      <c r="B4" t="s">
        <v>14</v>
      </c>
      <c r="C4" t="s">
        <v>11</v>
      </c>
      <c r="D4" t="s">
        <v>15</v>
      </c>
      <c r="E4">
        <v>51.4</v>
      </c>
      <c r="F4" t="s">
        <v>16</v>
      </c>
      <c r="G4">
        <f t="shared" si="0"/>
        <v>0</v>
      </c>
    </row>
    <row r="5" spans="1:7" x14ac:dyDescent="0.25">
      <c r="A5" t="s">
        <v>5</v>
      </c>
      <c r="B5" t="s">
        <v>17</v>
      </c>
      <c r="C5" t="s">
        <v>18</v>
      </c>
      <c r="D5" t="s">
        <v>19</v>
      </c>
      <c r="E5">
        <v>49.4</v>
      </c>
      <c r="F5" t="s">
        <v>20</v>
      </c>
      <c r="G5">
        <f t="shared" si="0"/>
        <v>-3</v>
      </c>
    </row>
    <row r="6" spans="1:7" x14ac:dyDescent="0.25">
      <c r="A6" t="s">
        <v>5</v>
      </c>
      <c r="B6" t="s">
        <v>21</v>
      </c>
      <c r="C6" t="s">
        <v>22</v>
      </c>
      <c r="D6" t="s">
        <v>23</v>
      </c>
      <c r="E6">
        <v>47.7</v>
      </c>
      <c r="F6" t="s">
        <v>24</v>
      </c>
      <c r="G6">
        <f t="shared" si="0"/>
        <v>-2.5999999999999943</v>
      </c>
    </row>
    <row r="7" spans="1:7" x14ac:dyDescent="0.25">
      <c r="A7" t="s">
        <v>25</v>
      </c>
      <c r="B7" t="s">
        <v>26</v>
      </c>
      <c r="C7" t="s">
        <v>27</v>
      </c>
      <c r="D7" t="s">
        <v>28</v>
      </c>
      <c r="E7">
        <v>39</v>
      </c>
      <c r="F7" t="s">
        <v>29</v>
      </c>
      <c r="G7">
        <f t="shared" si="0"/>
        <v>-4.7999999999999972</v>
      </c>
    </row>
    <row r="8" spans="1:7" x14ac:dyDescent="0.25">
      <c r="A8" t="s">
        <v>25</v>
      </c>
      <c r="B8" t="s">
        <v>30</v>
      </c>
      <c r="C8" t="s">
        <v>31</v>
      </c>
      <c r="D8" t="s">
        <v>15</v>
      </c>
      <c r="E8">
        <v>49</v>
      </c>
      <c r="F8" t="s">
        <v>32</v>
      </c>
      <c r="G8">
        <f t="shared" si="0"/>
        <v>-2.2999999999999972</v>
      </c>
    </row>
    <row r="9" spans="1:7" x14ac:dyDescent="0.25">
      <c r="A9" t="s">
        <v>25</v>
      </c>
      <c r="B9" t="s">
        <v>33</v>
      </c>
      <c r="C9" t="s">
        <v>34</v>
      </c>
      <c r="D9" t="s">
        <v>28</v>
      </c>
      <c r="E9">
        <v>46</v>
      </c>
      <c r="F9" t="s">
        <v>35</v>
      </c>
      <c r="G9">
        <f t="shared" si="0"/>
        <v>0.39999999999999858</v>
      </c>
    </row>
    <row r="10" spans="1:7" x14ac:dyDescent="0.25">
      <c r="A10" t="s">
        <v>25</v>
      </c>
      <c r="B10" t="s">
        <v>36</v>
      </c>
      <c r="C10" t="s">
        <v>37</v>
      </c>
      <c r="D10" t="s">
        <v>38</v>
      </c>
      <c r="E10">
        <v>50.9</v>
      </c>
      <c r="F10" t="s">
        <v>39</v>
      </c>
      <c r="G10">
        <f t="shared" si="0"/>
        <v>-0.89999999999999858</v>
      </c>
    </row>
    <row r="11" spans="1:7" x14ac:dyDescent="0.25">
      <c r="A11" t="s">
        <v>25</v>
      </c>
      <c r="B11" t="s">
        <v>40</v>
      </c>
      <c r="C11" t="s">
        <v>41</v>
      </c>
      <c r="D11" t="s">
        <v>42</v>
      </c>
      <c r="E11">
        <v>43.3</v>
      </c>
      <c r="F11" t="s">
        <v>43</v>
      </c>
      <c r="G11">
        <f t="shared" si="0"/>
        <v>-1.8000000000000043</v>
      </c>
    </row>
    <row r="12" spans="1:7" x14ac:dyDescent="0.25">
      <c r="A12" t="s">
        <v>25</v>
      </c>
      <c r="B12" t="s">
        <v>44</v>
      </c>
      <c r="C12" t="s">
        <v>45</v>
      </c>
      <c r="D12" t="s">
        <v>46</v>
      </c>
      <c r="E12">
        <v>61.6</v>
      </c>
      <c r="F12" t="s">
        <v>47</v>
      </c>
      <c r="G12">
        <f t="shared" si="0"/>
        <v>-0.10000000000000142</v>
      </c>
    </row>
    <row r="13" spans="1:7" x14ac:dyDescent="0.25">
      <c r="A13" t="s">
        <v>48</v>
      </c>
      <c r="B13" t="s">
        <v>49</v>
      </c>
      <c r="C13" t="s">
        <v>50</v>
      </c>
      <c r="D13" t="s">
        <v>51</v>
      </c>
      <c r="E13">
        <v>49.8</v>
      </c>
      <c r="F13" t="s">
        <v>52</v>
      </c>
      <c r="G13">
        <f t="shared" si="0"/>
        <v>9.9999999999994316E-2</v>
      </c>
    </row>
    <row r="14" spans="1:7" x14ac:dyDescent="0.25">
      <c r="A14" t="s">
        <v>48</v>
      </c>
      <c r="B14" t="s">
        <v>53</v>
      </c>
      <c r="C14" t="s">
        <v>54</v>
      </c>
      <c r="D14" t="s">
        <v>55</v>
      </c>
      <c r="E14">
        <v>53.9</v>
      </c>
      <c r="F14" t="s">
        <v>13</v>
      </c>
      <c r="G14">
        <f t="shared" si="0"/>
        <v>4.2999999999999972</v>
      </c>
    </row>
    <row r="15" spans="1:7" x14ac:dyDescent="0.25">
      <c r="A15" t="s">
        <v>48</v>
      </c>
      <c r="B15" t="s">
        <v>56</v>
      </c>
      <c r="C15" t="s">
        <v>50</v>
      </c>
      <c r="D15" t="s">
        <v>8</v>
      </c>
      <c r="E15">
        <v>44.6</v>
      </c>
      <c r="F15" t="s">
        <v>57</v>
      </c>
      <c r="G15">
        <f t="shared" si="0"/>
        <v>0</v>
      </c>
    </row>
    <row r="16" spans="1:7" x14ac:dyDescent="0.25">
      <c r="A16" t="s">
        <v>48</v>
      </c>
      <c r="B16" t="s">
        <v>58</v>
      </c>
      <c r="C16" t="s">
        <v>59</v>
      </c>
      <c r="D16" t="s">
        <v>8</v>
      </c>
      <c r="E16">
        <v>44.7</v>
      </c>
      <c r="F16" t="s">
        <v>60</v>
      </c>
      <c r="G16">
        <f t="shared" si="0"/>
        <v>-2.0999999999999943</v>
      </c>
    </row>
    <row r="17" spans="1:7" x14ac:dyDescent="0.25">
      <c r="A17" t="s">
        <v>48</v>
      </c>
      <c r="B17" t="s">
        <v>61</v>
      </c>
      <c r="C17" t="s">
        <v>62</v>
      </c>
      <c r="D17" t="s">
        <v>51</v>
      </c>
      <c r="E17">
        <v>49.9</v>
      </c>
      <c r="F17" t="s">
        <v>63</v>
      </c>
      <c r="G17">
        <f t="shared" si="0"/>
        <v>-0.30000000000000426</v>
      </c>
    </row>
    <row r="18" spans="1:7" x14ac:dyDescent="0.25">
      <c r="A18" t="s">
        <v>48</v>
      </c>
      <c r="B18" t="s">
        <v>64</v>
      </c>
      <c r="C18" t="s">
        <v>59</v>
      </c>
      <c r="D18" t="s">
        <v>65</v>
      </c>
      <c r="E18">
        <v>49.6</v>
      </c>
      <c r="F18" t="s">
        <v>66</v>
      </c>
      <c r="G18">
        <f t="shared" si="0"/>
        <v>0.80000000000000426</v>
      </c>
    </row>
    <row r="19" spans="1:7" x14ac:dyDescent="0.25">
      <c r="A19" t="s">
        <v>67</v>
      </c>
      <c r="B19" t="s">
        <v>68</v>
      </c>
      <c r="C19" t="s">
        <v>69</v>
      </c>
      <c r="D19" t="s">
        <v>23</v>
      </c>
      <c r="E19">
        <v>64.099999999999994</v>
      </c>
      <c r="F19" t="s">
        <v>70</v>
      </c>
      <c r="G19">
        <f t="shared" si="0"/>
        <v>2.0999999999999943</v>
      </c>
    </row>
    <row r="20" spans="1:7" x14ac:dyDescent="0.25">
      <c r="A20" t="s">
        <v>67</v>
      </c>
      <c r="B20" t="s">
        <v>71</v>
      </c>
      <c r="C20" t="s">
        <v>72</v>
      </c>
      <c r="D20" t="s">
        <v>23</v>
      </c>
      <c r="E20">
        <v>49</v>
      </c>
      <c r="F20" t="s">
        <v>73</v>
      </c>
      <c r="G20">
        <f t="shared" si="0"/>
        <v>-1.5</v>
      </c>
    </row>
    <row r="21" spans="1:7" x14ac:dyDescent="0.25">
      <c r="A21" t="s">
        <v>74</v>
      </c>
      <c r="B21" t="s">
        <v>75</v>
      </c>
      <c r="C21" t="s">
        <v>76</v>
      </c>
      <c r="D21" t="s">
        <v>23</v>
      </c>
      <c r="E21">
        <v>50.2</v>
      </c>
      <c r="F21" t="s">
        <v>77</v>
      </c>
      <c r="G21">
        <f t="shared" si="0"/>
        <v>0.10000000000000142</v>
      </c>
    </row>
    <row r="22" spans="1:7" x14ac:dyDescent="0.25">
      <c r="A22" t="s">
        <v>74</v>
      </c>
      <c r="B22" t="s">
        <v>78</v>
      </c>
      <c r="C22" t="s">
        <v>79</v>
      </c>
      <c r="D22" t="s">
        <v>15</v>
      </c>
      <c r="E22">
        <v>49.1</v>
      </c>
      <c r="F22" t="s">
        <v>80</v>
      </c>
      <c r="G22">
        <f t="shared" si="0"/>
        <v>-0.10000000000000142</v>
      </c>
    </row>
    <row r="23" spans="1:7" x14ac:dyDescent="0.25">
      <c r="A23" t="s">
        <v>81</v>
      </c>
      <c r="B23" t="s">
        <v>82</v>
      </c>
      <c r="C23" t="s">
        <v>83</v>
      </c>
      <c r="D23" t="s">
        <v>8</v>
      </c>
      <c r="E23">
        <v>43</v>
      </c>
      <c r="F23" t="s">
        <v>84</v>
      </c>
      <c r="G23">
        <f t="shared" si="0"/>
        <v>-1.1000000000000014</v>
      </c>
    </row>
    <row r="24" spans="1:7" x14ac:dyDescent="0.25">
      <c r="A24" t="s">
        <v>81</v>
      </c>
      <c r="B24" t="s">
        <v>85</v>
      </c>
      <c r="C24" t="s">
        <v>86</v>
      </c>
      <c r="D24" t="s">
        <v>8</v>
      </c>
      <c r="E24">
        <v>42.6</v>
      </c>
      <c r="F24" t="s">
        <v>87</v>
      </c>
      <c r="G24">
        <f t="shared" si="0"/>
        <v>-0.89999999999999858</v>
      </c>
    </row>
    <row r="25" spans="1:7" x14ac:dyDescent="0.25">
      <c r="A25" t="s">
        <v>88</v>
      </c>
      <c r="B25" t="s">
        <v>89</v>
      </c>
      <c r="C25" t="s">
        <v>90</v>
      </c>
      <c r="D25" t="s">
        <v>23</v>
      </c>
      <c r="E25">
        <v>62.8</v>
      </c>
      <c r="F25" t="s">
        <v>91</v>
      </c>
      <c r="G25">
        <f t="shared" si="0"/>
        <v>0.69999999999999574</v>
      </c>
    </row>
    <row r="26" spans="1:7" x14ac:dyDescent="0.25">
      <c r="A26" t="s">
        <v>92</v>
      </c>
      <c r="B26" t="s">
        <v>93</v>
      </c>
      <c r="C26" t="s">
        <v>94</v>
      </c>
      <c r="D26" t="s">
        <v>15</v>
      </c>
      <c r="E26">
        <v>48.7</v>
      </c>
      <c r="F26" t="s">
        <v>95</v>
      </c>
      <c r="G26">
        <f t="shared" si="0"/>
        <v>0.10000000000000142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2026-04-23T09:39:14Z</dcterms:created>
  <dcterms:modified xsi:type="dcterms:W3CDTF">2026-08-12T10:34:53Z</dcterms:modified>
</cp:coreProperties>
</file>